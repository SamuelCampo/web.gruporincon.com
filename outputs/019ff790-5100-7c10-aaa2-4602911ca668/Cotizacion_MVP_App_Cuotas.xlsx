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e8b7e1b884b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tización" sheetId="1" r:id="R169b9c37ac8b4209"/>
    <x:sheet xmlns:r="http://schemas.openxmlformats.org/officeDocument/2006/relationships" name="Lógica aprobable" sheetId="2" r:id="Raebcdadfce66438e"/>
    <x:sheet xmlns:r="http://schemas.openxmlformats.org/officeDocument/2006/relationships" name="Supuestos y exclusiones" sheetId="3" r:id="R554eaf1c82fd46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1"/>
      <x:color rgb="FF0B2A4A"/>
      <x:name val="Carlito"/>
    </x:font>
    <x:font>
      <x:b/>
      <x:sz val="11"/>
      <x:color rgb="FFFFFFFF"/>
      <x:name val="Carlito"/>
    </x:font>
    <x:font>
      <x:b/>
      <x:sz val="13"/>
      <x:color rgb="FF175C2C"/>
      <x:name val="Carlito"/>
    </x:font>
    <x:font>
      <x:b/>
      <x:sz val="18"/>
      <x:color rgb="FFFFFFFF"/>
      <x:name val="Arial"/>
    </x:font>
    <x:font>
      <x:i/>
      <x:sz val="10"/>
      <x:color rgb="FF667085"/>
      <x:name val="Arial"/>
    </x:font>
    <x:font>
      <x:sz val="11"/>
      <x:name val="Arial"/>
    </x:font>
    <x:font>
      <x:b/>
      <x:sz val="11"/>
      <x:color rgb="FF0B2A4A"/>
      <x:name val="Arial"/>
    </x:font>
    <x:font>
      <x:b/>
      <x:sz val="11"/>
      <x:color rgb="FFFFFFFF"/>
      <x:name val="Arial"/>
    </x:font>
    <x:font>
      <x:b/>
      <x:sz val="13"/>
      <x:color rgb="FF175C2C"/>
      <x:name val="Arial"/>
    </x:font>
    <x:font>
      <x:b/>
      <x:sz val="11"/>
      <x:color rgb="FF175C2C"/>
      <x:name val="Carlito"/>
    </x:font>
    <x:font>
      <x:b/>
      <x:sz val="11"/>
      <x:color rgb="FF175C2C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B2A4A"/>
      </x:patternFill>
    </x:fill>
    <x:fill>
      <x:patternFill patternType="solid">
        <x:fgColor rgb="FFEAF2F8"/>
      </x:patternFill>
    </x:fill>
    <x:fill>
      <x:patternFill patternType="solid">
        <x:fgColor rgb="FF1769AA"/>
      </x:patternFill>
    </x:fill>
    <x:fill>
      <x:patternFill patternType="solid">
        <x:fgColor rgb="FFDFF2E1"/>
      </x:patternFill>
    </x:fill>
    <x:fill>
      <x:patternFill patternType="solid">
        <x:fgColor rgb="FFF8FAFC"/>
      </x:patternFill>
    </x:fill>
    <x:fill>
      <x:patternFill patternType="solid">
        <x:fgColor rgb="FFFFF0CC"/>
      </x:patternFill>
    </x:fill>
    <x:fill>
      <x:patternFill patternType="solid">
        <x:fgColor rgb="FFFEE4E2"/>
      </x:patternFill>
    </x:fill>
  </x:fills>
  <x:borders count="13">
    <x:border/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top style="thin">
        <x:color rgb="FFD0D5DD"/>
      </x:top>
    </x:border>
    <x:border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medium">
        <x:color rgb="FF70AD47"/>
      </x:left>
      <x:top style="medium">
        <x:color rgb="FF70AD47"/>
      </x:top>
      <x:bottom style="medium">
        <x:color rgb="FF70AD47"/>
      </x:bottom>
    </x:border>
    <x:border>
      <x:top style="medium">
        <x:color rgb="FF70AD47"/>
      </x:top>
      <x:bottom style="medium">
        <x:color rgb="FF70AD47"/>
      </x:bottom>
    </x:border>
    <x:border>
      <x:right style="medium">
        <x:color rgb="FF70AD47"/>
      </x:right>
      <x:top style="medium">
        <x:color rgb="FF70AD47"/>
      </x:top>
      <x:bottom style="medium">
        <x:color rgb="FF70AD47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2" xfId="0" applyNumberFormat="1" applyFont="1" applyFill="1" applyBorder="1"/>
    <x:xf numFmtId="0" fontId="3" fillId="3" borderId="3" xfId="0" applyNumberFormat="1" applyFont="1" applyFill="1" applyBorder="1"/>
    <x:xf numFmtId="0" fontId="0" fillId="0" borderId="4" xfId="0" applyNumberFormat="1" applyFont="1" applyFill="1" applyBorder="1"/>
    <x:xf numFmtId="0" fontId="3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200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200" fontId="5" fillId="5" borderId="11" xfId="0" applyNumberFormat="1" applyFont="1" applyFill="1" applyBorder="1"/>
    <x:xf numFmtId="200" fontId="5" fillId="5" borderId="12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2" xfId="0" applyNumberFormat="1" applyFont="1" applyFill="1" applyBorder="1"/>
    <x:xf numFmtId="0" fontId="10" fillId="4" borderId="1" xfId="0" applyNumberFormat="1" applyFont="1" applyFill="1" applyBorder="1" applyAlignment="1">
      <x:alignment horizontal="center"/>
    </x:xf>
    <x:xf numFmtId="0" fontId="10" fillId="4" borderId="7" xfId="0" applyNumberFormat="1" applyFont="1" applyFill="1" applyBorder="1" applyAlignment="1">
      <x:alignment horizontal="center"/>
    </x:xf>
    <x:xf numFmtId="0" fontId="10" fillId="4" borderId="2" xfId="0" applyNumberFormat="1" applyFont="1" applyFill="1" applyBorder="1" applyAlignment="1">
      <x:alignment horizontal="center"/>
    </x:xf>
    <x:xf numFmtId="0" fontId="9" fillId="3" borderId="3" xfId="0" applyNumberFormat="1" applyFont="1" applyFill="1" applyBorder="1"/>
    <x:xf numFmtId="0" fontId="8" fillId="0" borderId="4" xfId="0" applyNumberFormat="1" applyFont="1" applyFill="1" applyBorder="1"/>
    <x:xf numFmtId="200" fontId="8" fillId="0" borderId="0" xfId="0" applyNumberFormat="1" applyFont="1" applyFill="1" applyBorder="1"/>
    <x:xf numFmtId="0" fontId="9" fillId="3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8" xfId="0" applyNumberFormat="1" applyFont="1" applyFill="1" applyBorder="1"/>
    <x:xf numFmtId="0" fontId="10" fillId="2" borderId="0" xfId="0" applyNumberFormat="1" applyFont="1" applyFill="1" applyBorder="1"/>
    <x:xf numFmtId="0" fontId="10" fillId="4" borderId="9" xfId="0" applyNumberFormat="1" applyFont="1" applyFill="1" applyBorder="1" applyAlignment="1">
      <x:alignment horizontal="center" wrapText="1"/>
    </x:xf>
    <x:xf numFmtId="0" fontId="8" fillId="0" borderId="9" xfId="0" applyNumberFormat="1" applyFont="1" applyFill="1" applyBorder="1" applyAlignment="1">
      <x:alignment vertical="center" wrapText="1"/>
    </x:xf>
    <x:xf numFmtId="200" fontId="8" fillId="0" borderId="9" xfId="0" applyNumberFormat="1" applyFont="1" applyFill="1" applyBorder="1" applyAlignment="1">
      <x:alignment vertical="center" wrapText="1"/>
    </x:xf>
    <x:xf numFmtId="0" fontId="11" fillId="5" borderId="10" xfId="0" applyNumberFormat="1" applyFont="1" applyFill="1" applyBorder="1"/>
    <x:xf numFmtId="0" fontId="11" fillId="5" borderId="11" xfId="0" applyNumberFormat="1" applyFont="1" applyFill="1" applyBorder="1"/>
    <x:xf numFmtId="200" fontId="11" fillId="5" borderId="11" xfId="0" applyNumberFormat="1" applyFont="1" applyFill="1" applyBorder="1"/>
    <x:xf numFmtId="200" fontId="11" fillId="5" borderId="12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horizontal="center"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12" fillId="5" borderId="9" xfId="0" applyNumberFormat="1" applyFont="1" applyFill="1" applyBorder="1" applyAlignment="1">
      <x:alignment vertical="center" wrapText="1"/>
    </x:xf>
    <x:xf numFmtId="0" fontId="12" fillId="5" borderId="9" xfId="0" applyNumberFormat="1" applyFont="1" applyFill="1" applyBorder="1" applyAlignment="1">
      <x:alignment horizontal="center" vertical="center" wrapText="1"/>
    </x:xf>
    <x:xf numFmtId="0" fontId="0" fillId="7" borderId="9" xfId="0" applyNumberFormat="1" applyFont="1" applyFill="1" applyBorder="1" applyAlignment="1">
      <x:alignment vertical="center" wrapText="1"/>
    </x:xf>
    <x:xf numFmtId="0" fontId="0" fillId="7" borderId="9" xfId="0" applyNumberFormat="1" applyFont="1" applyFill="1" applyBorder="1" applyAlignment="1">
      <x:alignment horizontal="center" vertical="center" wrapText="1"/>
    </x:xf>
    <x:xf numFmtId="0" fontId="0" fillId="4" borderId="9" xfId="0" applyNumberFormat="1" applyFont="1" applyFill="1" applyBorder="1"/>
    <x:xf numFmtId="0" fontId="4" fillId="4" borderId="9" xfId="0" applyNumberFormat="1" applyFont="1" applyFill="1" applyBorder="1"/>
    <x:xf numFmtId="0" fontId="4" fillId="4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10" fillId="4" borderId="9" xfId="0" applyNumberFormat="1" applyFont="1" applyFill="1" applyBorder="1" applyAlignment="1">
      <x:alignment horizontal="center" vertical="center" wrapText="1"/>
    </x:xf>
    <x:xf numFmtId="0" fontId="13" fillId="5" borderId="9" xfId="0" applyNumberFormat="1" applyFont="1" applyFill="1" applyBorder="1" applyAlignment="1">
      <x:alignment horizontal="center" vertical="center" wrapText="1"/>
    </x:xf>
    <x:xf numFmtId="0" fontId="8" fillId="7" borderId="9" xfId="0" applyNumberFormat="1" applyFont="1" applyFill="1" applyBorder="1" applyAlignment="1">
      <x:alignment horizontal="center" vertical="center" wrapText="1"/>
    </x:xf>
    <x:xf numFmtId="0" fontId="10" fillId="4" borderId="9" xfId="0" applyNumberFormat="1" applyFont="1" applyFill="1" applyBorder="1" applyAlignment="1">
      <x:alignment wrapText="1"/>
    </x:xf>
    <x:xf numFmtId="0" fontId="8" fillId="0" borderId="9" xfId="0" applyNumberFormat="1" applyFont="1" applyFill="1" applyBorder="1"/>
    <x:xf numFmtId="200" fontId="8" fillId="0" borderId="9" xfId="0" applyNumberFormat="1" applyFont="1" applyFill="1" applyBorder="1"/>
    <x:xf numFmtId="0" fontId="4" fillId="4" borderId="9" xfId="0" applyNumberFormat="1" applyFont="1" applyFill="1" applyBorder="1" applyAlignment="1">
      <x:alignment vertical="center" wrapText="1"/>
    </x:xf>
    <x:xf numFmtId="0" fontId="0" fillId="8" borderId="9" xfId="0" applyNumberFormat="1" applyFont="1" applyFill="1" applyBorder="1" applyAlignment="1">
      <x:alignment vertical="center" wrapText="1"/>
    </x:xf>
    <x:xf numFmtId="0" fontId="10" fillId="4" borderId="9" xfId="0" applyNumberFormat="1" applyFont="1" applyFill="1" applyBorder="1" applyAlignment="1">
      <x:alignment vertical="center" wrapText="1"/>
    </x:xf>
    <x:xf numFmtId="0" fontId="8" fillId="5" borderId="9" xfId="0" applyNumberFormat="1" applyFont="1" applyFill="1" applyBorder="1" applyAlignment="1">
      <x:alignment vertical="center" wrapText="1"/>
    </x:xf>
    <x:xf numFmtId="0" fontId="8" fillId="7" borderId="9" xfId="0" applyNumberFormat="1" applyFont="1" applyFill="1" applyBorder="1" applyAlignment="1">
      <x:alignment vertical="center" wrapText="1"/>
    </x:xf>
    <x:xf numFmtId="0" fontId="8" fillId="8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03e92908014fc4" /><Relationship Type="http://schemas.openxmlformats.org/officeDocument/2006/relationships/theme" Target="/xl/theme/theme1.xml" Id="R0e6cdc493127450f" /><Relationship Type="http://schemas.openxmlformats.org/officeDocument/2006/relationships/sharedStrings" Target="/xl/sharedStrings.xml" Id="Rbfea9f82f40f4c6b" /><Relationship Type="http://schemas.openxmlformats.org/officeDocument/2006/relationships/worksheet" Target="/xl/worksheets/sheet1.xml" Id="R169b9c37ac8b4209" /><Relationship Type="http://schemas.openxmlformats.org/officeDocument/2006/relationships/worksheet" Target="/xl/worksheets/sheet2.xml" Id="Raebcdadfce66438e" /><Relationship Type="http://schemas.openxmlformats.org/officeDocument/2006/relationships/worksheet" Target="/xl/worksheets/sheet3.xml" Id="R554eaf1c82fd46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24" hidden="0" customWidth="1"/>
    <x:col min="3" max="3" width="46" hidden="0" customWidth="1"/>
    <x:col min="4" max="4" width="20" hidden="0" customWidth="1"/>
    <x:col min="5" max="5" width="16" hidden="0" customWidth="1"/>
    <x:col min="6" max="6" width="19" hidden="0" customWidth="1"/>
  </x:cols>
  <x:sheetData>
    <x:row r="1" ht="22" customHeight="1">
      <x:c r="A1" s="41" t="str">
        <x:v>COTIZACIÓN | MVP APP DE COMERCIO A CUOTAS</x:v>
      </x:c>
      <x:c r="B1" s="41"/>
      <x:c r="C1" s="41"/>
      <x:c r="D1" s="41"/>
      <x:c r="E1" s="41"/>
      <x:c r="F1" s="41"/>
    </x:row>
    <x:row r="2" ht="22" customHeight="1">
      <x:c r="A2" s="41"/>
      <x:c r="B2" s="41"/>
      <x:c r="C2" s="41"/>
      <x:c r="D2" s="41"/>
      <x:c r="E2" s="41"/>
      <x:c r="F2" s="41"/>
    </x:row>
    <x:row r="3" ht="22" customHeight="1">
      <x:c r="A3" s="42" t="str">
        <x:v>Documento para validación de lógica, alcance e inversión</x:v>
      </x:c>
      <x:c r="B3" s="42"/>
      <x:c r="C3" s="42"/>
      <x:c r="D3" s="42"/>
      <x:c r="E3" s="42"/>
      <x:c r="F3" s="42"/>
    </x:row>
    <x:row r="4" ht="22" customHeight="1">
      <x:c r="A4" s="43"/>
      <x:c r="B4" s="43"/>
      <x:c r="C4" s="43"/>
      <x:c r="D4" s="43"/>
      <x:c r="E4" s="43"/>
      <x:c r="F4" s="43"/>
    </x:row>
    <x:row r="5" ht="22" customHeight="1">
      <x:c r="A5" s="44" t="str">
        <x:v>Fecha</x:v>
      </x:c>
      <x:c r="B5" s="45" t="str">
        <x:v>12/08/2026</x:v>
      </x:c>
      <x:c r="C5" s="43"/>
      <x:c r="D5" s="46" t="str">
        <x:v>RESUMEN DE INVERSIÓN</x:v>
      </x:c>
      <x:c r="E5" s="47"/>
      <x:c r="F5" s="48"/>
    </x:row>
    <x:row r="6" ht="22" customHeight="1">
      <x:c r="A6" s="49" t="str">
        <x:v>Validez</x:v>
      </x:c>
      <x:c r="B6" s="50" t="str">
        <x:v>15 días calendario</x:v>
      </x:c>
      <x:c r="C6" s="43"/>
      <x:c r="D6" s="49" t="str">
        <x:v>Desarrollo MVP</x:v>
      </x:c>
      <x:c r="E6" s="51" t="n">
        <x:v>900</x:v>
      </x:c>
      <x:c r="F6" s="50"/>
    </x:row>
    <x:row r="7" ht="22" customHeight="1">
      <x:c r="A7" s="49" t="str">
        <x:v>Cliente</x:v>
      </x:c>
      <x:c r="B7" s="50" t="str">
        <x:v>Por confirmar</x:v>
      </x:c>
      <x:c r="C7" s="43"/>
      <x:c r="D7" s="49" t="str">
        <x:v>Anticipo 50%</x:v>
      </x:c>
      <x:c r="E7" s="51" t="n">
        <x:f>E6*50%</x:f>
        <x:v>450</x:v>
      </x:c>
      <x:c r="F7" s="50"/>
    </x:row>
    <x:row r="8" ht="22" customHeight="1">
      <x:c r="A8" s="49" t="str">
        <x:v>Proveedor</x:v>
      </x:c>
      <x:c r="B8" s="50" t="str">
        <x:v>Grupo Rincón</x:v>
      </x:c>
      <x:c r="C8" s="43"/>
      <x:c r="D8" s="49" t="str">
        <x:v>Saldo contra entrega</x:v>
      </x:c>
      <x:c r="E8" s="51" t="n">
        <x:f>E6-E7</x:f>
        <x:v>450</x:v>
      </x:c>
      <x:c r="F8" s="50"/>
    </x:row>
    <x:row r="9" ht="22" customHeight="1">
      <x:c r="A9" s="49" t="str">
        <x:v>Moneda</x:v>
      </x:c>
      <x:c r="B9" s="50" t="str">
        <x:v>USD</x:v>
      </x:c>
      <x:c r="C9" s="43"/>
      <x:c r="D9" s="49" t="str">
        <x:v>Mantenimiento mensual</x:v>
      </x:c>
      <x:c r="E9" s="51" t="n">
        <x:v>100</x:v>
      </x:c>
      <x:c r="F9" s="50"/>
    </x:row>
    <x:row r="10" ht="22" customHeight="1">
      <x:c r="A10" s="52" t="str">
        <x:v>Entrega estimada</x:v>
      </x:c>
      <x:c r="B10" s="53" t="str">
        <x:v>3 semanas desde anticipo y aprobación</x:v>
      </x:c>
      <x:c r="C10" s="43"/>
      <x:c r="D10" s="52" t="str">
        <x:v>Permanencia mínima (meses)</x:v>
      </x:c>
      <x:c r="E10" s="54" t="n">
        <x:v>6</x:v>
      </x:c>
      <x:c r="F10" s="53"/>
    </x:row>
    <x:row r="11" ht="22" customHeight="1">
      <x:c r="A11" s="43"/>
      <x:c r="B11" s="43"/>
      <x:c r="C11" s="43"/>
      <x:c r="D11" s="43"/>
      <x:c r="E11" s="43"/>
      <x:c r="F11" s="43"/>
    </x:row>
    <x:row r="12" ht="22" customHeight="1">
      <x:c r="A12" s="55" t="str">
        <x:v>ALCANCE ECONÓMICO</x:v>
      </x:c>
      <x:c r="B12" s="55"/>
      <x:c r="C12" s="55"/>
      <x:c r="D12" s="55"/>
      <x:c r="E12" s="55"/>
      <x:c r="F12" s="55"/>
    </x:row>
    <x:row r="13" ht="22" customHeight="1">
      <x:c r="A13" s="56" t="str">
        <x:v>#</x:v>
      </x:c>
      <x:c r="B13" s="56" t="str">
        <x:v>Entregable</x:v>
      </x:c>
      <x:c r="C13" s="56" t="str">
        <x:v>Descripción</x:v>
      </x:c>
      <x:c r="D13" s="56" t="str">
        <x:v>Modalidad</x:v>
      </x:c>
      <x:c r="E13" s="56" t="str">
        <x:v>Monto USD</x:v>
      </x:c>
      <x:c r="F13" s="56" t="str">
        <x:v>Aprobación</x:v>
      </x:c>
    </x:row>
    <x:row r="14" ht="58" customHeight="1">
      <x:c r="A14" s="57" t="n">
        <x:v>1</x:v>
      </x:c>
      <x:c r="B14" s="57" t="str">
        <x:v>MVP 1.0</x:v>
      </x:c>
      <x:c r="C14" s="57" t="str">
        <x:v>App móvil multiplataforma + Supabase + panel administrativo básico, según lógica aprobable.</x:v>
      </x:c>
      <x:c r="D14" s="57" t="str">
        <x:v>Pago único</x:v>
      </x:c>
      <x:c r="E14" s="58" t="n">
        <x:v>900</x:v>
      </x:c>
      <x:c r="F14" s="57" t="str">
        <x:v>Pendiente</x:v>
      </x:c>
    </x:row>
    <x:row r="15" ht="58" customHeight="1">
      <x:c r="A15" s="57" t="n">
        <x:v>2</x:v>
      </x:c>
      <x:c r="B15" s="57" t="str">
        <x:v>Mantenimiento y evolución</x:v>
      </x:c>
      <x:c r="C15" s="57" t="str">
        <x:v>Monitoreo, respaldo, soporte correctivo y hasta 4 h/mes acumulables por máximo 3 meses.</x:v>
      </x:c>
      <x:c r="D15" s="57" t="str">
        <x:v>Mensual</x:v>
      </x:c>
      <x:c r="E15" s="58" t="n">
        <x:v>100</x:v>
      </x:c>
      <x:c r="F15" s="57" t="str">
        <x:v>Pendiente</x:v>
      </x:c>
    </x:row>
    <x:row r="16" ht="22" customHeight="1">
      <x:c r="A16" s="43"/>
      <x:c r="B16" s="43"/>
      <x:c r="C16" s="43"/>
      <x:c r="D16" s="43"/>
      <x:c r="E16" s="43"/>
      <x:c r="F16" s="43"/>
    </x:row>
    <x:row r="17" ht="22" customHeight="1">
      <x:c r="A17" s="59" t="str">
        <x:v>TOTAL INICIAL</x:v>
      </x:c>
      <x:c r="B17" s="60"/>
      <x:c r="C17" s="60"/>
      <x:c r="D17" s="61" t="n">
        <x:f>E14</x:f>
        <x:v>900</x:v>
      </x:c>
      <x:c r="E17" s="61"/>
      <x:c r="F17" s="62"/>
    </x:row>
    <x:row r="18" ht="22" customHeight="1">
      <x:c r="A18" s="43"/>
      <x:c r="B18" s="43"/>
      <x:c r="C18" s="43"/>
      <x:c r="D18" s="43"/>
      <x:c r="E18" s="43"/>
      <x:c r="F18" s="43"/>
    </x:row>
    <x:row r="19" ht="22" customHeight="1">
      <x:c r="A19" s="55" t="str">
        <x:v>CONDICIONES COMERCIALES</x:v>
      </x:c>
      <x:c r="B19" s="55"/>
      <x:c r="C19" s="55"/>
      <x:c r="D19" s="55"/>
      <x:c r="E19" s="55"/>
      <x:c r="F19" s="55"/>
    </x:row>
    <x:row r="20" ht="28" customHeight="1">
      <x:c r="A20" s="63" t="str">
        <x:v>• 50% para iniciar y reservar agenda.</x:v>
      </x:c>
      <x:c r="B20" s="63"/>
      <x:c r="C20" s="63"/>
      <x:c r="D20" s="63"/>
      <x:c r="E20" s="63"/>
      <x:c r="F20" s="63"/>
    </x:row>
    <x:row r="21" ht="28" customHeight="1">
      <x:c r="A21" s="63" t="str">
        <x:v>• 50% contra entrega, despliegue y validación funcional.</x:v>
      </x:c>
      <x:c r="B21" s="63"/>
      <x:c r="C21" s="63"/>
      <x:c r="D21" s="63"/>
      <x:c r="E21" s="63"/>
      <x:c r="F21" s="63"/>
    </x:row>
    <x:row r="22" ht="28" customHeight="1">
      <x:c r="A22" s="63" t="str">
        <x:v>• Costos de cuentas de Apple/Google, mensajería, KYC, dominios y servicios de terceros no están incluidos.</x:v>
      </x:c>
      <x:c r="B22" s="63"/>
      <x:c r="C22" s="63"/>
      <x:c r="D22" s="63"/>
      <x:c r="E22" s="63"/>
      <x:c r="F22" s="63"/>
    </x:row>
    <x:row r="23" ht="28" customHeight="1">
      <x:c r="A23" s="63" t="str">
        <x:v>• El mantenimiento inicia después de la entrega; contrato mínimo sugerido: 6 meses.</x:v>
      </x:c>
      <x:c r="B23" s="63"/>
      <x:c r="C23" s="63"/>
      <x:c r="D23" s="63"/>
      <x:c r="E23" s="63"/>
      <x:c r="F23" s="63"/>
    </x:row>
    <x:row r="24" ht="28" customHeight="1">
      <x:c r="A24" s="63" t="str">
        <x:v>• Cualquier ampliación no descrita se cotiza o se atiende con la bolsa de evolución.</x:v>
      </x:c>
      <x:c r="B24" s="63"/>
      <x:c r="C24" s="63"/>
      <x:c r="D24" s="63"/>
      <x:c r="E24" s="63"/>
      <x:c r="F24" s="63"/>
    </x:row>
    <x:row r="25" ht="22" customHeight="1">
      <x:c r="A25" s="43"/>
      <x:c r="B25" s="43"/>
      <x:c r="C25" s="43"/>
      <x:c r="D25" s="43"/>
      <x:c r="E25" s="43"/>
      <x:c r="F25" s="43"/>
    </x:row>
    <x:row r="26" ht="22" customHeight="1">
      <x:c r="A26" s="64" t="str">
        <x:v>APROBACIÓN DEL CLIENTE</x:v>
      </x:c>
      <x:c r="B26" s="64"/>
      <x:c r="C26" s="64"/>
      <x:c r="D26" s="64"/>
      <x:c r="E26" s="64"/>
      <x:c r="F26" s="64"/>
    </x:row>
    <x:row r="27" ht="22" customHeight="1">
      <x:c r="A27" s="65" t="str">
        <x:v>Nombre y cargo: ______________________________________________</x:v>
      </x:c>
      <x:c r="B27" s="65"/>
      <x:c r="C27" s="65"/>
      <x:c r="D27" s="65"/>
      <x:c r="E27" s="65"/>
      <x:c r="F27" s="65"/>
    </x:row>
    <x:row r="28" ht="22" customHeight="1">
      <x:c r="A28" s="65" t="str">
        <x:v>Acepto alcance y lógica:   Sí ☐   No ☐   Con observaciones ☐</x:v>
      </x:c>
      <x:c r="B28" s="65"/>
      <x:c r="C28" s="65"/>
      <x:c r="D28" s="65"/>
      <x:c r="E28" s="65"/>
      <x:c r="F28" s="65"/>
    </x:row>
    <x:row r="29" ht="22" customHeight="1">
      <x:c r="A29" s="65" t="str">
        <x:v>Firma: _______________________________   Fecha: __________________</x:v>
      </x:c>
      <x:c r="B29" s="65"/>
      <x:c r="C29" s="65"/>
      <x:c r="D29" s="65"/>
      <x:c r="E29" s="65"/>
      <x:c r="F29" s="65"/>
    </x:row>
    <x:row r="30" ht="22" customHeight="1">
      <x:c r="A30" s="65" t="str">
        <x:v>Observaciones: __________________________________________________</x:v>
      </x:c>
      <x:c r="B30" s="65"/>
      <x:c r="C30" s="65"/>
      <x:c r="D30" s="65"/>
      <x:c r="E30" s="65"/>
      <x:c r="F30" s="65"/>
    </x:row>
  </x:sheetData>
  <x:mergeCells>
    <x:mergeCell ref="A1:F2"/>
    <x:mergeCell ref="A3:F3"/>
    <x:mergeCell ref="D5:F5"/>
    <x:mergeCell ref="A12:F12"/>
    <x:mergeCell ref="A17:C17"/>
    <x:mergeCell ref="D17:F17"/>
    <x:mergeCell ref="A19:F19"/>
    <x:mergeCell ref="A20:F20"/>
    <x:mergeCell ref="A21:F21"/>
    <x:mergeCell ref="A22:F22"/>
    <x:mergeCell ref="A23:F23"/>
    <x:mergeCell ref="A24:F24"/>
    <x:mergeCell ref="A26:F26"/>
    <x:mergeCell ref="A27:F27"/>
    <x:mergeCell ref="A28:F28"/>
    <x:mergeCell ref="A29:F29"/>
    <x:mergeCell ref="A30:F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5" hidden="0" customWidth="1"/>
    <x:col min="4" max="4" width="23" hidden="0" customWidth="1"/>
    <x:col min="5" max="5" width="20" hidden="0" customWidth="1"/>
    <x:col min="6" max="6" width="20" hidden="0" customWidth="1"/>
    <x:col min="7" max="7" width="18" hidden="0" customWidth="1"/>
    <x:col min="8" max="8" width="24" hidden="0" customWidth="1"/>
  </x:cols>
  <x:sheetData>
    <x:row r="1">
      <x:c r="A1" s="79" t="str">
        <x:v>LÓGICA FUNCIONAL PARA APROBACIÓN</x:v>
      </x:c>
      <x:c r="B1" s="79"/>
      <x:c r="C1" s="79"/>
      <x:c r="D1" s="79"/>
      <x:c r="E1" s="79"/>
      <x:c r="F1" s="79"/>
      <x:c r="G1" s="79"/>
      <x:c r="H1" s="79"/>
    </x:row>
    <x:row r="2">
      <x:c r="A2" s="79"/>
      <x:c r="B2" s="79"/>
      <x:c r="C2" s="79"/>
      <x:c r="D2" s="79"/>
      <x:c r="E2" s="79"/>
      <x:c r="F2" s="79"/>
      <x:c r="G2" s="79"/>
      <x:c r="H2" s="79"/>
    </x:row>
    <x:row r="3">
      <x:c r="A3" s="43"/>
      <x:c r="B3" s="43"/>
      <x:c r="C3" s="43"/>
      <x:c r="D3" s="43"/>
      <x:c r="E3" s="43"/>
      <x:c r="F3" s="43"/>
      <x:c r="G3" s="43"/>
      <x:c r="H3" s="43"/>
    </x:row>
    <x:row r="4">
      <x:c r="A4" s="80" t="str">
        <x:v>Regla</x:v>
      </x:c>
      <x:c r="B4" s="80" t="str">
        <x:v>Entrada</x:v>
      </x:c>
      <x:c r="C4" s="80" t="str">
        <x:v>Cálculo / condición</x:v>
      </x:c>
      <x:c r="D4" s="80" t="str">
        <x:v>Resultado</x:v>
      </x:c>
      <x:c r="E4" s="80" t="str">
        <x:v>Responsable</x:v>
      </x:c>
      <x:c r="F4" s="80" t="str">
        <x:v>Incluido MVP</x:v>
      </x:c>
      <x:c r="G4" s="80" t="str">
        <x:v>Validación</x:v>
      </x:c>
      <x:c r="H4" s="80" t="str">
        <x:v>Notas</x:v>
      </x:c>
    </x:row>
    <x:row r="5" ht="50" customHeight="1">
      <x:c r="A5" s="57" t="str">
        <x:v>Precio a cuotas</x:v>
      </x:c>
      <x:c r="B5" s="57" t="str">
        <x:v>Precio USD definido por admin</x:v>
      </x:c>
      <x:c r="C5" s="57" t="str">
        <x:v>Valor base sin recargo dinámico</x:v>
      </x:c>
      <x:c r="D5" s="57" t="str">
        <x:v>Precio financiado publicado</x:v>
      </x:c>
      <x:c r="E5" s="57" t="str">
        <x:v>Administrador</x:v>
      </x:c>
      <x:c r="F5" s="81" t="str">
        <x:v>Sí</x:v>
      </x:c>
      <x:c r="G5" s="82" t="str">
        <x:v>Pendiente</x:v>
      </x:c>
      <x:c r="H5" s="57" t="str">
        <x:v>Por producto</x:v>
      </x:c>
    </x:row>
    <x:row r="6" ht="50" customHeight="1">
      <x:c r="A6" s="57" t="str">
        <x:v>Inicial obligatoria</x:v>
      </x:c>
      <x:c r="B6" s="57" t="str">
        <x:v>Precio a cuotas</x:v>
      </x:c>
      <x:c r="C6" s="57" t="str">
        <x:v>Precio × 45%</x:v>
      </x:c>
      <x:c r="D6" s="57" t="str">
        <x:v>Monto mínimo para liberar despacho</x:v>
      </x:c>
      <x:c r="E6" s="57" t="str">
        <x:v>Sistema + admin</x:v>
      </x:c>
      <x:c r="F6" s="81" t="str">
        <x:v>Sí</x:v>
      </x:c>
      <x:c r="G6" s="82" t="str">
        <x:v>Pendiente</x:v>
      </x:c>
      <x:c r="H6" s="57" t="str">
        <x:v>Porcentaje fijo</x:v>
      </x:c>
    </x:row>
    <x:row r="7" ht="50" customHeight="1">
      <x:c r="A7" s="57" t="str">
        <x:v>Saldo financiado</x:v>
      </x:c>
      <x:c r="B7" s="57" t="str">
        <x:v>Precio e inicial</x:v>
      </x:c>
      <x:c r="C7" s="57" t="str">
        <x:v>Precio - inicial (55%)</x:v>
      </x:c>
      <x:c r="D7" s="57" t="str">
        <x:v>Saldo posterior a la inicial</x:v>
      </x:c>
      <x:c r="E7" s="57" t="str">
        <x:v>Sistema</x:v>
      </x:c>
      <x:c r="F7" s="81" t="str">
        <x:v>Sí</x:v>
      </x:c>
      <x:c r="G7" s="82" t="str">
        <x:v>Pendiente</x:v>
      </x:c>
      <x:c r="H7" s="57" t="str">
        <x:v>Sin interés en MVP</x:v>
      </x:c>
    </x:row>
    <x:row r="8" ht="50" customHeight="1">
      <x:c r="A8" s="57" t="str">
        <x:v>Plan semanal</x:v>
      </x:c>
      <x:c r="B8" s="57" t="str">
        <x:v>Saldo financiado</x:v>
      </x:c>
      <x:c r="C8" s="57" t="str">
        <x:v>Saldo ÷ 4</x:v>
      </x:c>
      <x:c r="D8" s="57" t="str">
        <x:v>4 cuotas semanales iguales</x:v>
      </x:c>
      <x:c r="E8" s="57" t="str">
        <x:v>Cliente elige</x:v>
      </x:c>
      <x:c r="F8" s="81" t="str">
        <x:v>Sí</x:v>
      </x:c>
      <x:c r="G8" s="82" t="str">
        <x:v>Pendiente</x:v>
      </x:c>
      <x:c r="H8" s="57" t="str">
        <x:v>Fechas automáticas</x:v>
      </x:c>
    </x:row>
    <x:row r="9" ht="50" customHeight="1">
      <x:c r="A9" s="57" t="str">
        <x:v>Plan quincenal</x:v>
      </x:c>
      <x:c r="B9" s="57" t="str">
        <x:v>Saldo financiado</x:v>
      </x:c>
      <x:c r="C9" s="57" t="str">
        <x:v>Saldo ÷ 2</x:v>
      </x:c>
      <x:c r="D9" s="57" t="str">
        <x:v>2 cuotas quincenales iguales</x:v>
      </x:c>
      <x:c r="E9" s="57" t="str">
        <x:v>Cliente elige</x:v>
      </x:c>
      <x:c r="F9" s="81" t="str">
        <x:v>Sí</x:v>
      </x:c>
      <x:c r="G9" s="82" t="str">
        <x:v>Pendiente</x:v>
      </x:c>
      <x:c r="H9" s="57" t="str">
        <x:v>Fechas automáticas</x:v>
      </x:c>
    </x:row>
    <x:row r="10" ht="50" customHeight="1">
      <x:c r="A10" s="57" t="str">
        <x:v>Compra de contado</x:v>
      </x:c>
      <x:c r="B10" s="57" t="str">
        <x:v>Precio y rebaja</x:v>
      </x:c>
      <x:c r="C10" s="57" t="str">
        <x:v>Precio - rebaja configurable</x:v>
      </x:c>
      <x:c r="D10" s="57" t="str">
        <x:v>Total inmediato</x:v>
      </x:c>
      <x:c r="E10" s="57" t="str">
        <x:v>Administrador</x:v>
      </x:c>
      <x:c r="F10" s="81" t="str">
        <x:v>Sí</x:v>
      </x:c>
      <x:c r="G10" s="82" t="str">
        <x:v>Pendiente</x:v>
      </x:c>
      <x:c r="H10" s="57" t="str">
        <x:v>Rebaja por producto</x:v>
      </x:c>
    </x:row>
    <x:row r="11" ht="50" customHeight="1">
      <x:c r="A11" s="57" t="str">
        <x:v>Conversión monetaria</x:v>
      </x:c>
      <x:c r="B11" s="57" t="str">
        <x:v>Monto USD + tasa USDT</x:v>
      </x:c>
      <x:c r="C11" s="57" t="str">
        <x:v>Monto × tasa vigente registrada</x:v>
      </x:c>
      <x:c r="D11" s="57" t="str">
        <x:v>Referencia en moneda local</x:v>
      </x:c>
      <x:c r="E11" s="57" t="str">
        <x:v>Administrador</x:v>
      </x:c>
      <x:c r="F11" s="81" t="str">
        <x:v>Sí</x:v>
      </x:c>
      <x:c r="G11" s="82" t="str">
        <x:v>Pendiente</x:v>
      </x:c>
      <x:c r="H11" s="57" t="str">
        <x:v>Tasa manual del día; guardar snapshot</x:v>
      </x:c>
    </x:row>
    <x:row r="12" ht="50" customHeight="1">
      <x:c r="A12" s="57" t="str">
        <x:v>Confirmación de pago</x:v>
      </x:c>
      <x:c r="B12" s="57" t="str">
        <x:v>Comprobante cargado</x:v>
      </x:c>
      <x:c r="C12" s="57" t="str">
        <x:v>Aprobación manual</x:v>
      </x:c>
      <x:c r="D12" s="57" t="str">
        <x:v>Pago aprobado/rechazado</x:v>
      </x:c>
      <x:c r="E12" s="57" t="str">
        <x:v>Administrador</x:v>
      </x:c>
      <x:c r="F12" s="81" t="str">
        <x:v>Sí</x:v>
      </x:c>
      <x:c r="G12" s="82" t="str">
        <x:v>Pendiente</x:v>
      </x:c>
      <x:c r="H12" s="57" t="str">
        <x:v>Sin conciliación bancaria</x:v>
      </x:c>
    </x:row>
    <x:row r="13" ht="50" customHeight="1">
      <x:c r="A13" s="57" t="str">
        <x:v>Despacho</x:v>
      </x:c>
      <x:c r="B13" s="57" t="str">
        <x:v>Pago inicial aprobado</x:v>
      </x:c>
      <x:c r="C13" s="57" t="str">
        <x:v>Solo habilitar tras confirmar 45%</x:v>
      </x:c>
      <x:c r="D13" s="57" t="str">
        <x:v>En proceso / enviado / entregado</x:v>
      </x:c>
      <x:c r="E13" s="57" t="str">
        <x:v>Administrador</x:v>
      </x:c>
      <x:c r="F13" s="81" t="str">
        <x:v>Sí</x:v>
      </x:c>
      <x:c r="G13" s="82" t="str">
        <x:v>Pendiente</x:v>
      </x:c>
      <x:c r="H13" s="57" t="str">
        <x:v>Logística manual</x:v>
      </x:c>
    </x:row>
    <x:row r="14">
      <x:c r="A14" s="43"/>
      <x:c r="B14" s="43"/>
      <x:c r="C14" s="43"/>
      <x:c r="D14" s="43"/>
      <x:c r="E14" s="43"/>
      <x:c r="F14" s="43"/>
      <x:c r="G14" s="43"/>
      <x:c r="H14" s="43"/>
    </x:row>
    <x:row r="15">
      <x:c r="A15" s="55" t="str">
        <x:v>EJEMPLO AUDITABLE</x:v>
      </x:c>
      <x:c r="B15" s="55"/>
      <x:c r="C15" s="55"/>
      <x:c r="D15" s="55"/>
      <x:c r="E15" s="55"/>
      <x:c r="F15" s="55"/>
      <x:c r="G15" s="55"/>
      <x:c r="H15" s="55"/>
    </x:row>
    <x:row r="16">
      <x:c r="A16" s="83" t="str">
        <x:v>Producto</x:v>
      </x:c>
      <x:c r="B16" s="83" t="str">
        <x:v>Precio cuotas</x:v>
      </x:c>
      <x:c r="C16" s="83" t="str">
        <x:v>Inicial 45%</x:v>
      </x:c>
      <x:c r="D16" s="83" t="str">
        <x:v>Saldo 55%</x:v>
      </x:c>
      <x:c r="E16" s="83" t="str">
        <x:v>Semanal (4)</x:v>
      </x:c>
      <x:c r="F16" s="83" t="str">
        <x:v>Quincenal (2)</x:v>
      </x:c>
      <x:c r="G16" s="83" t="str">
        <x:v>Rebaja contado</x:v>
      </x:c>
      <x:c r="H16" s="83" t="str">
        <x:v>Final contado</x:v>
      </x:c>
    </x:row>
    <x:row r="17">
      <x:c r="A17" s="84" t="str">
        <x:v>Yara Candy</x:v>
      </x:c>
      <x:c r="B17" s="85" t="n">
        <x:v>70</x:v>
      </x:c>
      <x:c r="C17" s="85" t="n">
        <x:f>B17*45%</x:f>
        <x:v>31.5</x:v>
      </x:c>
      <x:c r="D17" s="85" t="n">
        <x:f>B17-C17</x:f>
        <x:v>38.5</x:v>
      </x:c>
      <x:c r="E17" s="85" t="n">
        <x:f>D17/4</x:f>
        <x:v>9.625</x:v>
      </x:c>
      <x:c r="F17" s="85" t="n">
        <x:f>D17/2</x:f>
        <x:v>19.25</x:v>
      </x:c>
      <x:c r="G17" s="85" t="n">
        <x:v>15</x:v>
      </x:c>
      <x:c r="H17" s="85" t="n">
        <x:f>B17-G17</x:f>
        <x:v>55</x:v>
      </x:c>
    </x:row>
    <x:row r="18">
      <x:c r="A18" s="84" t="str">
        <x:v>Yara Rosada</x:v>
      </x:c>
      <x:c r="B18" s="85" t="n">
        <x:v>75</x:v>
      </x:c>
      <x:c r="C18" s="85" t="n">
        <x:f>B18*45%</x:f>
        <x:v>33.75</x:v>
      </x:c>
      <x:c r="D18" s="85" t="n">
        <x:f>B18-C18</x:f>
        <x:v>41.25</x:v>
      </x:c>
      <x:c r="E18" s="85" t="n">
        <x:f>D18/4</x:f>
        <x:v>10.3125</x:v>
      </x:c>
      <x:c r="F18" s="85" t="n">
        <x:f>D18/2</x:f>
        <x:v>20.625</x:v>
      </x:c>
      <x:c r="G18" s="85" t="n">
        <x:v>15</x:v>
      </x:c>
      <x:c r="H18" s="85" t="n">
        <x:f>B18-G18</x:f>
        <x:v>60</x:v>
      </x:c>
    </x:row>
  </x:sheetData>
  <x:mergeCells>
    <x:mergeCell ref="A1:H2"/>
    <x:mergeCell ref="A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68" hidden="0" customWidth="1"/>
    <x:col min="4" max="4" width="18" hidden="0" customWidth="1"/>
  </x:cols>
  <x:sheetData>
    <x:row r="1">
      <x:c r="A1" s="79" t="str">
        <x:v>SUPUESTOS, LÍMITES Y EVOLUCIÓN</x:v>
      </x:c>
      <x:c r="B1" s="79"/>
      <x:c r="C1" s="79"/>
      <x:c r="D1" s="79"/>
    </x:row>
    <x:row r="2">
      <x:c r="A2" s="79"/>
      <x:c r="B2" s="79"/>
      <x:c r="C2" s="79"/>
      <x:c r="D2" s="79"/>
    </x:row>
    <x:row r="3">
      <x:c r="A3" s="43"/>
      <x:c r="B3" s="43"/>
      <x:c r="C3" s="43"/>
      <x:c r="D3" s="43"/>
    </x:row>
    <x:row r="4">
      <x:c r="A4" s="88" t="str">
        <x:v>Clasificación</x:v>
      </x:c>
      <x:c r="B4" s="88" t="str">
        <x:v>Elemento</x:v>
      </x:c>
      <x:c r="C4" s="88" t="str">
        <x:v>Tratamiento en este presupuesto</x:v>
      </x:c>
      <x:c r="D4" s="88" t="str">
        <x:v>Fase sugerida</x:v>
      </x:c>
    </x:row>
    <x:row r="5" ht="48" customHeight="1">
      <x:c r="A5" s="89" t="str">
        <x:v>Incluido</x:v>
      </x:c>
      <x:c r="B5" s="57" t="str">
        <x:v>App móvil</x:v>
      </x:c>
      <x:c r="C5" s="57" t="str">
        <x:v>React Native + Expo, Android/iOS desde una base de código.</x:v>
      </x:c>
      <x:c r="D5" s="57" t="str">
        <x:v>MVP</x:v>
      </x:c>
    </x:row>
    <x:row r="6" ht="48" customHeight="1">
      <x:c r="A6" s="89" t="str">
        <x:v>Incluido</x:v>
      </x:c>
      <x:c r="B6" s="57" t="str">
        <x:v>Backend</x:v>
      </x:c>
      <x:c r="C6" s="57" t="str">
        <x:v>Supabase: Auth, Postgres, Storage y políticas RLS.</x:v>
      </x:c>
      <x:c r="D6" s="57" t="str">
        <x:v>MVP</x:v>
      </x:c>
    </x:row>
    <x:row r="7" ht="48" customHeight="1">
      <x:c r="A7" s="89" t="str">
        <x:v>Incluido</x:v>
      </x:c>
      <x:c r="B7" s="57" t="str">
        <x:v>Catálogo</x:v>
      </x:c>
      <x:c r="C7" s="57" t="str">
        <x:v>Categorías, listado, detalle, imágenes y precios.</x:v>
      </x:c>
      <x:c r="D7" s="57" t="str">
        <x:v>MVP</x:v>
      </x:c>
    </x:row>
    <x:row r="8" ht="48" customHeight="1">
      <x:c r="A8" s="89" t="str">
        <x:v>Incluido</x:v>
      </x:c>
      <x:c r="B8" s="57" t="str">
        <x:v>Compras</x:v>
      </x:c>
      <x:c r="C8" s="57" t="str">
        <x:v>Contado o cuotas fijas; carga de comprobante.</x:v>
      </x:c>
      <x:c r="D8" s="57" t="str">
        <x:v>MVP</x:v>
      </x:c>
    </x:row>
    <x:row r="9" ht="48" customHeight="1">
      <x:c r="A9" s="89" t="str">
        <x:v>Incluido</x:v>
      </x:c>
      <x:c r="B9" s="57" t="str">
        <x:v>Panel básico</x:v>
      </x:c>
      <x:c r="C9" s="57" t="str">
        <x:v>Productos, tasa, pedidos, pagos y estados.</x:v>
      </x:c>
      <x:c r="D9" s="57" t="str">
        <x:v>MVP</x:v>
      </x:c>
    </x:row>
    <x:row r="10" ht="48" customHeight="1">
      <x:c r="A10" s="90" t="str">
        <x:v>Simplificado</x:v>
      </x:c>
      <x:c r="B10" s="57" t="str">
        <x:v>KYC</x:v>
      </x:c>
      <x:c r="C10" s="57" t="str">
        <x:v>Registro de datos/documentos y revisión manual; sin biometría.</x:v>
      </x:c>
      <x:c r="D10" s="57" t="str">
        <x:v>MVP</x:v>
      </x:c>
    </x:row>
    <x:row r="11" ht="48" customHeight="1">
      <x:c r="A11" s="90" t="str">
        <x:v>Simplificado</x:v>
      </x:c>
      <x:c r="B11" s="57" t="str">
        <x:v>Multi-tienda</x:v>
      </x:c>
      <x:c r="C11" s="57" t="str">
        <x:v>Catálogo puede mostrar tiendas, pero operación y administración son centralizadas.</x:v>
      </x:c>
      <x:c r="D11" s="57" t="str">
        <x:v>MVP</x:v>
      </x:c>
    </x:row>
    <x:row r="12" ht="48" customHeight="1">
      <x:c r="A12" s="90" t="str">
        <x:v>Simplificado</x:v>
      </x:c>
      <x:c r="B12" s="57" t="str">
        <x:v>Notificaciones</x:v>
      </x:c>
      <x:c r="C12" s="57" t="str">
        <x:v>Mensajes internos/básicos; sin automatización WhatsApp/SMS.</x:v>
      </x:c>
      <x:c r="D12" s="57" t="str">
        <x:v>MVP</x:v>
      </x:c>
    </x:row>
    <x:row r="13" ht="48" customHeight="1">
      <x:c r="A13" s="91" t="str">
        <x:v>Fuera de alcance</x:v>
      </x:c>
      <x:c r="B13" s="57" t="str">
        <x:v>Marketplace autogestionado</x:v>
      </x:c>
      <x:c r="C13" s="57" t="str">
        <x:v>Panel independiente, afiliación, comisiones y liquidación por vendedor.</x:v>
      </x:c>
      <x:c r="D13" s="57" t="str">
        <x:v>Evolución</x:v>
      </x:c>
    </x:row>
    <x:row r="14" ht="48" customHeight="1">
      <x:c r="A14" s="91" t="str">
        <x:v>Fuera de alcance</x:v>
      </x:c>
      <x:c r="B14" s="57" t="str">
        <x:v>Analítica avanzada</x:v>
      </x:c>
      <x:c r="C14" s="57" t="str">
        <x:v>Dashboards, cohortes, reportes/exportaciones masivas.</x:v>
      </x:c>
      <x:c r="D14" s="57" t="str">
        <x:v>Evolución</x:v>
      </x:c>
    </x:row>
    <x:row r="15" ht="48" customHeight="1">
      <x:c r="A15" s="91" t="str">
        <x:v>Fuera de alcance</x:v>
      </x:c>
      <x:c r="B15" s="57" t="str">
        <x:v>Logística integrada</x:v>
      </x:c>
      <x:c r="C15" s="57" t="str">
        <x:v>Etiquetas, tarifas, tracking o integración con transportistas.</x:v>
      </x:c>
      <x:c r="D15" s="57" t="str">
        <x:v>Evolución</x:v>
      </x:c>
    </x:row>
    <x:row r="16" ht="48" customHeight="1">
      <x:c r="A16" s="91" t="str">
        <x:v>Fuera de alcance</x:v>
      </x:c>
      <x:c r="B16" s="57" t="str">
        <x:v>Cobro automático</x:v>
      </x:c>
      <x:c r="C16" s="57" t="str">
        <x:v>Pasarela, débito automático y conciliación bancaria.</x:v>
      </x:c>
      <x:c r="D16" s="57" t="str">
        <x:v>Evolución</x:v>
      </x:c>
    </x:row>
    <x:row r="17" ht="48" customHeight="1">
      <x:c r="A17" s="91" t="str">
        <x:v>Fuera de alcance</x:v>
      </x:c>
      <x:c r="B17" s="57" t="str">
        <x:v>Publicación stores</x:v>
      </x:c>
      <x:c r="C17" s="57" t="str">
        <x:v>Cuentas y tasas de Apple/Google; publicación sujeta a aprobación externa.</x:v>
      </x:c>
      <x:c r="D17" s="57" t="str">
        <x:v>Opcional</x:v>
      </x:c>
    </x:row>
  </x:sheetData>
  <x:mergeCells>
    <x:mergeCell ref="A1:D2"/>
  </x:mergeCells>
  <x:pageMargins left="0.7" right="0.7" top="0.75" bottom="0.75" header="0.3" footer="0.3"/>
</x:worksheet>
</file>